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tics &amp;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00E5FF"/>
      <sz val="11"/>
    </font>
    <font>
      <name val="Segoe UI"/>
      <sz val="10"/>
    </font>
    <font>
      <name val="Segoe UI"/>
      <b val="1"/>
      <sz val="11"/>
    </font>
    <font>
      <name val="Segoe UI"/>
      <b val="1"/>
    </font>
  </fonts>
  <fills count="3">
    <fill>
      <patternFill/>
    </fill>
    <fill>
      <patternFill patternType="gray125"/>
    </fill>
    <fill>
      <patternFill patternType="solid">
        <fgColor rgb="000A192F"/>
        <bgColor rgb="000A192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bottom style="thin">
        <color rgb="00CBD5E1"/>
      </bottom>
    </border>
  </borders>
  <cellStyleXfs count="3">
    <xf numFmtId="0" fontId="0" fillId="0" borderId="0"/>
    <xf numFmtId="0" fontId="1" fillId="2" borderId="1" applyAlignment="1">
      <alignment horizontal="center" vertical="center" wrapText="1"/>
    </xf>
    <xf numFmtId="0" fontId="2" fillId="0" borderId="1" applyAlignment="1">
      <alignment vertical="center"/>
    </xf>
  </cellStyleXfs>
  <cellXfs count="6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2" fillId="0" borderId="1" applyAlignment="1" pivotButton="0" quotePrefix="0" xfId="2">
      <alignment vertical="center"/>
    </xf>
    <xf numFmtId="4" fontId="2" fillId="0" borderId="1" applyAlignment="1" pivotButton="0" quotePrefix="0" xfId="2">
      <alignment vertical="center"/>
    </xf>
    <xf numFmtId="0" fontId="3" fillId="0" borderId="0" pivotButton="0" quotePrefix="0" xfId="0"/>
    <xf numFmtId="4" fontId="4" fillId="0" borderId="0" pivotButton="0" quotePrefix="0" xfId="0"/>
  </cellXfs>
  <cellStyles count="3">
    <cellStyle name="Normal" xfId="0" builtinId="0" hidden="0"/>
    <cellStyle name="myraa_header" xfId="1" hidden="0"/>
    <cellStyle name="myraa_data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Comparison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'Analytics &amp; Data'!C1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'Analytics &amp; Data'!$B$2:$B$5</f>
            </numRef>
          </cat>
          <val>
            <numRef>
              <f>'Analytics &amp; Data'!$C$2:$C$5</f>
            </numRef>
          </val>
        </ser>
        <ser>
          <idx val="1"/>
          <order val="1"/>
          <tx>
            <strRef>
              <f>'Analytics &amp; Data'!D1</f>
            </strRef>
          </tx>
          <spPr>
            <a:ln xmlns:a="http://schemas.openxmlformats.org/drawingml/2006/main">
              <a:prstDash val="solid"/>
            </a:ln>
          </spPr>
          <val>
            <numRef>
              <f>'Analytics &amp; Data'!$D$2:$D$5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Module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5" customWidth="1" min="3" max="3"/>
    <col width="15" customWidth="1" min="4" max="4"/>
    <col width="17" customWidth="1" min="5" max="5"/>
    <col width="12" customWidth="1" min="6" max="6"/>
  </cols>
  <sheetData>
    <row r="1" ht="28" customHeight="1">
      <c r="A1" s="1" t="inlineStr">
        <is>
          <t>ID</t>
        </is>
      </c>
      <c r="B1" s="1" t="inlineStr">
        <is>
          <t>Module</t>
        </is>
      </c>
      <c r="C1" s="1" t="inlineStr">
        <is>
          <t>Q1 Revenue</t>
        </is>
      </c>
      <c r="D1" s="1" t="inlineStr">
        <is>
          <t>Q2 Revenue</t>
        </is>
      </c>
      <c r="E1" s="1" t="inlineStr">
        <is>
          <t>Growth Rate</t>
        </is>
      </c>
      <c r="F1" s="1" t="inlineStr">
        <is>
          <t>Status</t>
        </is>
      </c>
    </row>
    <row r="2">
      <c r="A2" s="2" t="inlineStr">
        <is>
          <t>SYS-001</t>
        </is>
      </c>
      <c r="B2" s="2" t="inlineStr">
        <is>
          <t>Cloud Infrastructure</t>
        </is>
      </c>
      <c r="C2" s="3" t="n">
        <v>45000</v>
      </c>
      <c r="D2" s="3" t="n">
        <v>58000</v>
      </c>
      <c r="E2" s="2">
        <f>((D2-C2)/C2)</f>
        <v/>
      </c>
      <c r="F2" s="2" t="inlineStr">
        <is>
          <t>ACTIVE</t>
        </is>
      </c>
    </row>
    <row r="3">
      <c r="A3" s="2" t="inlineStr">
        <is>
          <t>SYS-002</t>
        </is>
      </c>
      <c r="B3" s="2" t="inlineStr">
        <is>
          <t>AI Neural Core</t>
        </is>
      </c>
      <c r="C3" s="3" t="n">
        <v>85000</v>
      </c>
      <c r="D3" s="3" t="n">
        <v>115000</v>
      </c>
      <c r="E3" s="2">
        <f>((D3-C3)/C3)</f>
        <v/>
      </c>
      <c r="F3" s="2" t="inlineStr">
        <is>
          <t>OPTIMAL</t>
        </is>
      </c>
    </row>
    <row r="4">
      <c r="A4" s="2" t="inlineStr">
        <is>
          <t>SYS-003</t>
        </is>
      </c>
      <c r="B4" s="2" t="inlineStr">
        <is>
          <t>Mobile Companion</t>
        </is>
      </c>
      <c r="C4" s="3" t="n">
        <v>32000</v>
      </c>
      <c r="D4" s="3" t="n">
        <v>41000</v>
      </c>
      <c r="E4" s="2">
        <f>((D4-C4)/C4)</f>
        <v/>
      </c>
      <c r="F4" s="2" t="inlineStr">
        <is>
          <t>ACTIVE</t>
        </is>
      </c>
    </row>
    <row r="5">
      <c r="A5" s="2" t="inlineStr">
        <is>
          <t>SYS-004</t>
        </is>
      </c>
      <c r="B5" s="2" t="inlineStr">
        <is>
          <t>Enterprise Studio</t>
        </is>
      </c>
      <c r="C5" s="3" t="n">
        <v>64000</v>
      </c>
      <c r="D5" s="3" t="n">
        <v>92000</v>
      </c>
      <c r="E5" s="2">
        <f>((D5-C5)/C5)</f>
        <v/>
      </c>
      <c r="F5" s="2" t="inlineStr">
        <is>
          <t>VERIFIED</t>
        </is>
      </c>
    </row>
    <row r="6">
      <c r="B6" s="4" t="inlineStr">
        <is>
          <t>TOTAL</t>
        </is>
      </c>
      <c r="C6" s="5">
        <f>SUM(C2:C5)</f>
        <v/>
      </c>
      <c r="D6" s="5">
        <f>SUM(D2:D5)</f>
        <v/>
      </c>
    </row>
  </sheetData>
  <conditionalFormatting sqref="C2:C5">
    <cfRule type="dataBar" priority="1">
      <dataBar>
        <cfvo type="min" val="0"/>
        <cfvo type="max" val="100"/>
        <color rgb="003B82F6"/>
      </dataBar>
    </cfRule>
  </conditionalFormatting>
  <conditionalFormatting sqref="D2:D5">
    <cfRule type="dataBar" priority="2">
      <dataBar>
        <cfvo type="min" val="0"/>
        <cfvo type="max" val="100"/>
        <color rgb="003B82F6"/>
      </dataBar>
    </cfRule>
  </conditionalFormatting>
  <conditionalFormatting sqref="E2:E5">
    <cfRule type="dataBar" priority="3">
      <dataBar>
        <cfvo type="min" val="0"/>
        <cfvo type="max" val="100"/>
        <color rgb="003B82F6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2026-09-08T07:40:32Z</dcterms:created>
  <dcterms:modified xmlns:dcterms="http://purl.org/dc/terms/" xmlns:xsi="http://www.w3.org/2001/XMLSchema-instance" xsi:type="dcterms:W3CDTF">2026-09-08T07:40:32Z</dcterms:modified>
</cp:coreProperties>
</file>